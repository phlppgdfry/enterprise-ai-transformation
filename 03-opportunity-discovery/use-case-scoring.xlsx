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ing" sheetId="1" r:id="rId1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€&quot;#,##0"/>
    <numFmt numFmtId="165" formatCode="0.0%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CE6F1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/>
    <xf numFmtId="165" fontId="0" fillId="0" borderId="0" xfId="0" applyNumberFormat="1"/>
    <xf numFmtId="164" fontId="0" fillId="0" borderId="0" xfId="0" applyNumberFormat="1"/>
    <xf numFmtId="0" fontId="0" fillId="2" borderId="0" xfId="0" applyFill="1"/>
    <xf numFmtId="3" fontId="0" fillId="0" borderId="0" xfId="0" applyNumberFormat="1"/>
    <xf numFmtId="0" fontId="0" fillId="0" borderId="0" xfId="0" applyAlignment="1">
      <alignment wrapText="1" vertical="top"/>
    </xf>
    <xf numFmtId="165" fontId="0" fillId="2" borderId="0" xfId="0" applyNumberFormat="1" applyFill="1"/>
    <xf numFmtId="0" fontId="2" fillId="0" borderId="0" xfId="0" applyFont="1"/>
    <xf numFmtId="164" fontId="1" fillId="0" borderId="0" xfId="0" applyNumberFormat="1" applyFont="1"/>
    <xf numFmtId="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40" customWidth="1"/>
    <col min="3" max="3" width="12" customWidth="1"/>
  </cols>
  <sheetData>
    <row r="1">
      <c r="A1" s="8" t="inlineStr">
        <is>
          <t xml:space="preserve">Use-case scoring: change the yellow weights and scores; the ranking follows.</t>
        </is>
      </c>
    </row>
    <row r="3">
      <c r="A3" s="1" t="inlineStr">
        <is>
          <t xml:space="preserve">Group weights</t>
        </is>
      </c>
      <c r="B3" s="1" t="inlineStr">
        <is>
          <t xml:space="preserve">Value</t>
        </is>
      </c>
      <c r="C3" s="1" t="inlineStr">
        <is>
          <t xml:space="preserve">Feasibility</t>
        </is>
      </c>
      <c r="D3" s="1" t="inlineStr">
        <is>
          <t xml:space="preserve">Risk</t>
        </is>
      </c>
    </row>
    <row r="4">
      <c r="A4" t="inlineStr">
        <is>
          <t xml:space="preserve">weight</t>
        </is>
      </c>
      <c r="B4" s="4">
        <v>0.45</v>
      </c>
      <c r="C4" s="4">
        <v>0.35</v>
      </c>
      <c r="D4" s="4">
        <v>0.2</v>
      </c>
    </row>
    <row r="6">
      <c r="A6" s="1" t="inlineStr">
        <is>
          <t xml:space="preserve">Sub-weights</t>
        </is>
      </c>
      <c r="D6" s="4">
        <v>0.7</v>
      </c>
      <c r="E6" s="4">
        <v>0.3</v>
      </c>
      <c r="F6" s="4">
        <v>0.35</v>
      </c>
      <c r="G6" s="4">
        <v>0.25</v>
      </c>
      <c r="H6" s="4">
        <v>0.25</v>
      </c>
      <c r="I6" s="4">
        <v>0.15</v>
      </c>
      <c r="J6" s="4">
        <v>0.4</v>
      </c>
      <c r="K6" s="4">
        <v>0.4</v>
      </c>
      <c r="L6" s="4">
        <v>0.2</v>
      </c>
    </row>
    <row r="7">
      <c r="A7" s="1" t="inlineStr">
        <is>
          <t xml:space="preserve">#</t>
        </is>
      </c>
      <c r="B7" s="1" t="inlineStr">
        <is>
          <t xml:space="preserve">Use case</t>
        </is>
      </c>
      <c r="C7" s="1" t="inlineStr">
        <is>
          <t xml:space="preserve">Value / year (EUR)</t>
        </is>
      </c>
      <c r="D7" s="1" t="inlineStr">
        <is>
          <t xml:space="preserve">Value score</t>
        </is>
      </c>
      <c r="E7" s="1" t="inlineStr">
        <is>
          <t xml:space="preserve">strategic_fit</t>
        </is>
      </c>
      <c r="F7" s="1" t="inlineStr">
        <is>
          <t xml:space="preserve">data_readiness</t>
        </is>
      </c>
      <c r="G7" s="1" t="inlineStr">
        <is>
          <t xml:space="preserve">technical_simplicity</t>
        </is>
      </c>
      <c r="H7" s="1" t="inlineStr">
        <is>
          <t xml:space="preserve">integration_ease</t>
        </is>
      </c>
      <c r="I7" s="1" t="inlineStr">
        <is>
          <t xml:space="preserve">change_ease</t>
        </is>
      </c>
      <c r="J7" s="1" t="inlineStr">
        <is>
          <t xml:space="preserve">regulatory</t>
        </is>
      </c>
      <c r="K7" s="1" t="inlineStr">
        <is>
          <t xml:space="preserve">error_tolerance</t>
        </is>
      </c>
      <c r="L7" s="1" t="inlineStr">
        <is>
          <t xml:space="preserve">privacy</t>
        </is>
      </c>
      <c r="M7" s="1" t="inlineStr">
        <is>
          <t xml:space="preserve">Value</t>
        </is>
      </c>
      <c r="N7" s="1" t="inlineStr">
        <is>
          <t xml:space="preserve">Feasibility</t>
        </is>
      </c>
      <c r="O7" s="1" t="inlineStr">
        <is>
          <t xml:space="preserve">Risk</t>
        </is>
      </c>
      <c r="P7" s="1" t="inlineStr">
        <is>
          <t xml:space="preserve">Score</t>
        </is>
      </c>
      <c r="Q7" s="1" t="inlineStr">
        <is>
          <t xml:space="preserve">Rank</t>
        </is>
      </c>
    </row>
    <row r="8">
      <c r="A8" t="inlineStr">
        <is>
          <t xml:space="preserve">UC-01</t>
        </is>
      </c>
      <c r="B8" t="inlineStr">
        <is>
          <t xml:space="preserve">Freight document intelligence</t>
        </is>
      </c>
      <c r="C8" s="4">
        <v>166000</v>
      </c>
      <c r="D8" s="10">
        <f>1+4*MIN(C8,250000)/250000</f>
      </c>
      <c r="E8" s="4">
        <v>5</v>
      </c>
      <c r="F8" s="4">
        <v>4</v>
      </c>
      <c r="G8" s="4">
        <v>4</v>
      </c>
      <c r="H8" s="4">
        <v>3</v>
      </c>
      <c r="I8" s="4">
        <v>3</v>
      </c>
      <c r="J8" s="4">
        <v>5</v>
      </c>
      <c r="K8" s="4">
        <v>3</v>
      </c>
      <c r="L8" s="4">
        <v>4</v>
      </c>
      <c r="M8" s="10">
        <f>D8*$D$6+E8*$E$6</f>
      </c>
      <c r="N8" s="10">
        <f>F8*$F$6+G8*$G$6+H8*$H$6+I8*$I$6</f>
      </c>
      <c r="O8" s="10">
        <f>J8*$J$6+K8*$K$6+L8*$L$6</f>
      </c>
      <c r="P8" s="10">
        <f>IF(J8=1,"parked",(M8*$B$4+N8*$C$4+O8*$D$4)/($B$4+$C$4+$D$4))</f>
      </c>
      <c r="Q8">
        <f>IF(ISNUMBER(P8),RANK(P8,$P$8:$P$17),"-")</f>
      </c>
    </row>
    <row r="9">
      <c r="A9" t="inlineStr">
        <is>
          <t xml:space="preserve">UC-02</t>
        </is>
      </c>
      <c r="B9" t="inlineStr">
        <is>
          <t xml:space="preserve">Customer e-mail triage and draft replies</t>
        </is>
      </c>
      <c r="C9" s="4">
        <v>85000</v>
      </c>
      <c r="D9" s="10">
        <f>1+4*MIN(C9,250000)/250000</f>
      </c>
      <c r="E9" s="4">
        <v>4</v>
      </c>
      <c r="F9" s="4">
        <v>4</v>
      </c>
      <c r="G9" s="4">
        <v>4</v>
      </c>
      <c r="H9" s="4">
        <v>3</v>
      </c>
      <c r="I9" s="4">
        <v>3</v>
      </c>
      <c r="J9" s="4">
        <v>4</v>
      </c>
      <c r="K9" s="4">
        <v>4</v>
      </c>
      <c r="L9" s="4">
        <v>3</v>
      </c>
      <c r="M9" s="10">
        <f>D9*$D$6+E9*$E$6</f>
      </c>
      <c r="N9" s="10">
        <f>F9*$F$6+G9*$G$6+H9*$H$6+I9*$I$6</f>
      </c>
      <c r="O9" s="10">
        <f>J9*$J$6+K9*$K$6+L9*$L$6</f>
      </c>
      <c r="P9" s="10">
        <f>IF(J9=1,"parked",(M9*$B$4+N9*$C$4+O9*$D$4)/($B$4+$C$4+$D$4))</f>
      </c>
      <c r="Q9">
        <f>IF(ISNUMBER(P9),RANK(P9,$P$8:$P$17),"-")</f>
      </c>
    </row>
    <row r="10">
      <c r="A10" t="inlineStr">
        <is>
          <t xml:space="preserve">UC-03</t>
        </is>
      </c>
      <c r="B10" t="inlineStr">
        <is>
          <t xml:space="preserve">Customs classification assistant</t>
        </is>
      </c>
      <c r="C10" s="4">
        <v>130000</v>
      </c>
      <c r="D10" s="10">
        <f>1+4*MIN(C10,250000)/250000</f>
      </c>
      <c r="E10" s="4">
        <v>4</v>
      </c>
      <c r="F10" s="4">
        <v>3</v>
      </c>
      <c r="G10" s="4">
        <v>3</v>
      </c>
      <c r="H10" s="4">
        <v>3</v>
      </c>
      <c r="I10" s="4">
        <v>3</v>
      </c>
      <c r="J10" s="4">
        <v>4</v>
      </c>
      <c r="K10" s="4">
        <v>2</v>
      </c>
      <c r="L10" s="4">
        <v>5</v>
      </c>
      <c r="M10" s="10">
        <f>D10*$D$6+E10*$E$6</f>
      </c>
      <c r="N10" s="10">
        <f>F10*$F$6+G10*$G$6+H10*$H$6+I10*$I$6</f>
      </c>
      <c r="O10" s="10">
        <f>J10*$J$6+K10*$K$6+L10*$L$6</f>
      </c>
      <c r="P10" s="10">
        <f>IF(J10=1,"parked",(M10*$B$4+N10*$C$4+O10*$D$4)/($B$4+$C$4+$D$4))</f>
      </c>
      <c r="Q10">
        <f>IF(ISNUMBER(P10),RANK(P10,$P$8:$P$17),"-")</f>
      </c>
    </row>
    <row r="11">
      <c r="A11" t="inlineStr">
        <is>
          <t xml:space="preserve">UC-04</t>
        </is>
      </c>
      <c r="B11" t="inlineStr">
        <is>
          <t xml:space="preserve">Internal knowledge assistant</t>
        </is>
      </c>
      <c r="C11" s="4">
        <v>60000</v>
      </c>
      <c r="D11" s="10">
        <f>1+4*MIN(C11,250000)/250000</f>
      </c>
      <c r="E11" s="4">
        <v>3</v>
      </c>
      <c r="F11" s="4">
        <v>2</v>
      </c>
      <c r="G11" s="4">
        <v>4</v>
      </c>
      <c r="H11" s="4">
        <v>4</v>
      </c>
      <c r="I11" s="4">
        <v>3</v>
      </c>
      <c r="J11" s="4">
        <v>5</v>
      </c>
      <c r="K11" s="4">
        <v>4</v>
      </c>
      <c r="L11" s="4">
        <v>4</v>
      </c>
      <c r="M11" s="10">
        <f>D11*$D$6+E11*$E$6</f>
      </c>
      <c r="N11" s="10">
        <f>F11*$F$6+G11*$G$6+H11*$H$6+I11*$I$6</f>
      </c>
      <c r="O11" s="10">
        <f>J11*$J$6+K11*$K$6+L11*$L$6</f>
      </c>
      <c r="P11" s="10">
        <f>IF(J11=1,"parked",(M11*$B$4+N11*$C$4+O11*$D$4)/($B$4+$C$4+$D$4))</f>
      </c>
      <c r="Q11">
        <f>IF(ISNUMBER(P11),RANK(P11,$P$8:$P$17),"-")</f>
      </c>
    </row>
    <row r="12">
      <c r="A12" t="inlineStr">
        <is>
          <t xml:space="preserve">UC-05</t>
        </is>
      </c>
      <c r="B12" t="inlineStr">
        <is>
          <t xml:space="preserve">ETA prediction and delay alerts</t>
        </is>
      </c>
      <c r="C12" s="4">
        <v>70000</v>
      </c>
      <c r="D12" s="10">
        <f>1+4*MIN(C12,250000)/250000</f>
      </c>
      <c r="E12" s="4">
        <v>3</v>
      </c>
      <c r="F12" s="4">
        <v>2</v>
      </c>
      <c r="G12" s="4">
        <v>2</v>
      </c>
      <c r="H12" s="4">
        <v>2</v>
      </c>
      <c r="I12" s="4">
        <v>4</v>
      </c>
      <c r="J12" s="4">
        <v>5</v>
      </c>
      <c r="K12" s="4">
        <v>4</v>
      </c>
      <c r="L12" s="4">
        <v>5</v>
      </c>
      <c r="M12" s="10">
        <f>D12*$D$6+E12*$E$6</f>
      </c>
      <c r="N12" s="10">
        <f>F12*$F$6+G12*$G$6+H12*$H$6+I12*$I$6</f>
      </c>
      <c r="O12" s="10">
        <f>J12*$J$6+K12*$K$6+L12*$L$6</f>
      </c>
      <c r="P12" s="10">
        <f>IF(J12=1,"parked",(M12*$B$4+N12*$C$4+O12*$D$4)/($B$4+$C$4+$D$4))</f>
      </c>
      <c r="Q12">
        <f>IF(ISNUMBER(P12),RANK(P12,$P$8:$P$17),"-")</f>
      </c>
    </row>
    <row r="13">
      <c r="A13" t="inlineStr">
        <is>
          <t xml:space="preserve">UC-06</t>
        </is>
      </c>
      <c r="B13" t="inlineStr">
        <is>
          <t xml:space="preserve">Warehouse volume forecasting for staffing</t>
        </is>
      </c>
      <c r="C13" s="4">
        <v>55000</v>
      </c>
      <c r="D13" s="10">
        <f>1+4*MIN(C13,250000)/250000</f>
      </c>
      <c r="E13" s="4">
        <v>3</v>
      </c>
      <c r="F13" s="4">
        <v>2</v>
      </c>
      <c r="G13" s="4">
        <v>3</v>
      </c>
      <c r="H13" s="4">
        <v>3</v>
      </c>
      <c r="I13" s="4">
        <v>2</v>
      </c>
      <c r="J13" s="4">
        <v>4</v>
      </c>
      <c r="K13" s="4">
        <v>3</v>
      </c>
      <c r="L13" s="4">
        <v>4</v>
      </c>
      <c r="M13" s="10">
        <f>D13*$D$6+E13*$E$6</f>
      </c>
      <c r="N13" s="10">
        <f>F13*$F$6+G13*$G$6+H13*$H$6+I13*$I$6</f>
      </c>
      <c r="O13" s="10">
        <f>J13*$J$6+K13*$K$6+L13*$L$6</f>
      </c>
      <c r="P13" s="10">
        <f>IF(J13=1,"parked",(M13*$B$4+N13*$C$4+O13*$D$4)/($B$4+$C$4+$D$4))</f>
      </c>
      <c r="Q13">
        <f>IF(ISNUMBER(P13),RANK(P13,$P$8:$P$17),"-")</f>
      </c>
    </row>
    <row r="14">
      <c r="A14" t="inlineStr">
        <is>
          <t xml:space="preserve">UC-07</t>
        </is>
      </c>
      <c r="B14" t="inlineStr">
        <is>
          <t xml:space="preserve">Route and load optimisation</t>
        </is>
      </c>
      <c r="C14" s="4">
        <v>160000</v>
      </c>
      <c r="D14" s="10">
        <f>1+4*MIN(C14,250000)/250000</f>
      </c>
      <c r="E14" s="4">
        <v>4</v>
      </c>
      <c r="F14" s="4">
        <v>3</v>
      </c>
      <c r="G14" s="4">
        <v>2</v>
      </c>
      <c r="H14" s="4">
        <v>2</v>
      </c>
      <c r="I14" s="4">
        <v>2</v>
      </c>
      <c r="J14" s="4">
        <v>5</v>
      </c>
      <c r="K14" s="4">
        <v>3</v>
      </c>
      <c r="L14" s="4">
        <v>4</v>
      </c>
      <c r="M14" s="10">
        <f>D14*$D$6+E14*$E$6</f>
      </c>
      <c r="N14" s="10">
        <f>F14*$F$6+G14*$G$6+H14*$H$6+I14*$I$6</f>
      </c>
      <c r="O14" s="10">
        <f>J14*$J$6+K14*$K$6+L14*$L$6</f>
      </c>
      <c r="P14" s="10">
        <f>IF(J14=1,"parked",(M14*$B$4+N14*$C$4+O14*$D$4)/($B$4+$C$4+$D$4))</f>
      </c>
      <c r="Q14">
        <f>IF(ISNUMBER(P14),RANK(P14,$P$8:$P$17),"-")</f>
      </c>
    </row>
    <row r="15">
      <c r="A15" t="inlineStr">
        <is>
          <t xml:space="preserve">UC-08</t>
        </is>
      </c>
      <c r="B15" t="inlineStr">
        <is>
          <t xml:space="preserve">Driver and warehouse performance monitoring</t>
        </is>
      </c>
      <c r="C15" s="4">
        <v>40000</v>
      </c>
      <c r="D15" s="10">
        <f>1+4*MIN(C15,250000)/250000</f>
      </c>
      <c r="E15" s="4">
        <v>1</v>
      </c>
      <c r="F15" s="4">
        <v>3</v>
      </c>
      <c r="G15" s="4">
        <v>3</v>
      </c>
      <c r="H15" s="4">
        <v>3</v>
      </c>
      <c r="I15" s="4">
        <v>1</v>
      </c>
      <c r="J15" s="4">
        <v>1</v>
      </c>
      <c r="K15" s="4">
        <v>2</v>
      </c>
      <c r="L15" s="4">
        <v>1</v>
      </c>
      <c r="M15" s="10">
        <f>D15*$D$6+E15*$E$6</f>
      </c>
      <c r="N15" s="10">
        <f>F15*$F$6+G15*$G$6+H15*$H$6+I15*$I$6</f>
      </c>
      <c r="O15" s="10">
        <f>J15*$J$6+K15*$K$6+L15*$L$6</f>
      </c>
      <c r="P15" s="10">
        <f>IF(J15=1,"parked",(M15*$B$4+N15*$C$4+O15*$D$4)/($B$4+$C$4+$D$4))</f>
      </c>
      <c r="Q15">
        <f>IF(ISNUMBER(P15),RANK(P15,$P$8:$P$17),"-")</f>
      </c>
    </row>
    <row r="16">
      <c r="A16" t="inlineStr">
        <is>
          <t xml:space="preserve">UC-09</t>
        </is>
      </c>
      <c r="B16" t="inlineStr">
        <is>
          <t xml:space="preserve">Carrier invoice audit</t>
        </is>
      </c>
      <c r="C16" s="4">
        <v>75000</v>
      </c>
      <c r="D16" s="10">
        <f>1+4*MIN(C16,250000)/250000</f>
      </c>
      <c r="E16" s="4">
        <v>3</v>
      </c>
      <c r="F16" s="4">
        <v>4</v>
      </c>
      <c r="G16" s="4">
        <v>4</v>
      </c>
      <c r="H16" s="4">
        <v>3</v>
      </c>
      <c r="I16" s="4">
        <v>4</v>
      </c>
      <c r="J16" s="4">
        <v>5</v>
      </c>
      <c r="K16" s="4">
        <v>4</v>
      </c>
      <c r="L16" s="4">
        <v>5</v>
      </c>
      <c r="M16" s="10">
        <f>D16*$D$6+E16*$E$6</f>
      </c>
      <c r="N16" s="10">
        <f>F16*$F$6+G16*$G$6+H16*$H$6+I16*$I$6</f>
      </c>
      <c r="O16" s="10">
        <f>J16*$J$6+K16*$K$6+L16*$L$6</f>
      </c>
      <c r="P16" s="10">
        <f>IF(J16=1,"parked",(M16*$B$4+N16*$C$4+O16*$D$4)/($B$4+$C$4+$D$4))</f>
      </c>
      <c r="Q16">
        <f>IF(ISNUMBER(P16),RANK(P16,$P$8:$P$17),"-")</f>
      </c>
    </row>
    <row r="17">
      <c r="A17" t="inlineStr">
        <is>
          <t xml:space="preserve">UC-10</t>
        </is>
      </c>
      <c r="B17" t="inlineStr">
        <is>
          <t xml:space="preserve">Quote and tender assistant</t>
        </is>
      </c>
      <c r="C17" s="4">
        <v>65000</v>
      </c>
      <c r="D17" s="10">
        <f>1+4*MIN(C17,250000)/250000</f>
      </c>
      <c r="E17" s="4">
        <v>4</v>
      </c>
      <c r="F17" s="4">
        <v>3</v>
      </c>
      <c r="G17" s="4">
        <v>3</v>
      </c>
      <c r="H17" s="4">
        <v>4</v>
      </c>
      <c r="I17" s="4">
        <v>3</v>
      </c>
      <c r="J17" s="4">
        <v>5</v>
      </c>
      <c r="K17" s="4">
        <v>3</v>
      </c>
      <c r="L17" s="4">
        <v>4</v>
      </c>
      <c r="M17" s="10">
        <f>D17*$D$6+E17*$E$6</f>
      </c>
      <c r="N17" s="10">
        <f>F17*$F$6+G17*$G$6+H17*$H$6+I17*$I$6</f>
      </c>
      <c r="O17" s="10">
        <f>J17*$J$6+K17*$K$6+L17*$L$6</f>
      </c>
      <c r="P17" s="10">
        <f>IF(J17=1,"parked",(M17*$B$4+N17*$C$4+O17*$D$4)/($B$4+$C$4+$D$4))</f>
      </c>
      <c r="Q17">
        <f>IF(ISNUMBER(P17),RANK(P17,$P$8:$P$17),"-")</f>
      </c>
    </row>
    <row r="19">
      <c r="A19" t="inlineStr">
        <is>
          <t xml:space="preserve">Score 1-5 per criterion, 5 is best (for risk criteria 5 = low risk). A regulatory score of 1 parks the use case.</t>
        </is>
      </c>
    </row>
  </sheetData>
</worksheet>
</file>