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Model" sheetId="2" r:id="rId2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€&quot;#,##0"/>
    <numFmt numFmtId="165" formatCode="0.0%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CE6F1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/>
    <xf numFmtId="165" fontId="0" fillId="0" borderId="0" xfId="0" applyNumberFormat="1"/>
    <xf numFmtId="164" fontId="0" fillId="0" borderId="0" xfId="0" applyNumberFormat="1"/>
    <xf numFmtId="0" fontId="0" fillId="2" borderId="0" xfId="0" applyFill="1"/>
    <xf numFmtId="3" fontId="0" fillId="0" borderId="0" xfId="0" applyNumberFormat="1"/>
    <xf numFmtId="0" fontId="0" fillId="0" borderId="0" xfId="0" applyAlignment="1">
      <alignment wrapText="1" vertical="top"/>
    </xf>
    <xf numFmtId="165" fontId="0" fillId="2" borderId="0" xfId="0" applyNumberFormat="1" applyFill="1"/>
    <xf numFmtId="0" fontId="2" fillId="0" borderId="0" xfId="0" applyFont="1"/>
    <xf numFmtId="164" fontId="1" fillId="0" borderId="0" xfId="0" applyNumberFormat="1" applyFont="1"/>
    <xf numFmtId="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56" customWidth="1"/>
    <col min="3" max="3" width="12" customWidth="1"/>
    <col min="4" max="4" width="12" customWidth="1"/>
    <col min="5" max="5" width="12" customWidth="1"/>
    <col min="6" max="6" width="22" customWidth="1"/>
    <col min="7" max="7" width="16" customWidth="1"/>
    <col min="8" max="8" width="80" customWidth="1"/>
  </cols>
  <sheetData>
    <row r="1">
      <c r="A1" s="8" t="inlineStr">
        <is>
          <t xml:space="preserve">ROI calculator, UC-01 freight document intelligence (fictional client)</t>
        </is>
      </c>
    </row>
    <row r="2">
      <c r="A2" t="inlineStr">
        <is>
          <t xml:space="preserve">Change the yellow Base column. Low and high are the scenario bounds used in the business case.</t>
        </is>
      </c>
    </row>
    <row r="4">
      <c r="A4" s="1" t="inlineStr">
        <is>
          <t xml:space="preserve">#</t>
        </is>
      </c>
      <c r="B4" s="1" t="inlineStr">
        <is>
          <t xml:space="preserve">Assumption</t>
        </is>
      </c>
      <c r="C4" s="1" t="inlineStr">
        <is>
          <t xml:space="preserve">Base</t>
        </is>
      </c>
      <c r="D4" s="1" t="inlineStr">
        <is>
          <t xml:space="preserve">Low</t>
        </is>
      </c>
      <c r="E4" s="1" t="inlineStr">
        <is>
          <t xml:space="preserve">High</t>
        </is>
      </c>
      <c r="F4" s="1" t="inlineStr">
        <is>
          <t xml:space="preserve">Unit</t>
        </is>
      </c>
      <c r="G4" s="1" t="inlineStr">
        <is>
          <t xml:space="preserve">Source</t>
        </is>
      </c>
      <c r="H4" s="1" t="inlineStr">
        <is>
          <t xml:space="preserve">Basis</t>
        </is>
      </c>
    </row>
    <row r="5">
      <c r="A5" t="inlineStr">
        <is>
          <t xml:space="preserve">A01</t>
        </is>
      </c>
      <c r="B5" t="inlineStr">
        <is>
          <t xml:space="preserve">Documents keyed per month</t>
        </is>
      </c>
      <c r="C5" s="4">
        <v>4000</v>
      </c>
      <c r="D5">
        <v>3600</v>
      </c>
      <c r="E5">
        <v>4400</v>
      </c>
      <c r="F5" t="inlineStr">
        <is>
          <t xml:space="preserve">documents</t>
        </is>
      </c>
      <c r="G5" t="inlineStr">
        <is>
          <t xml:space="preserve">measured</t>
        </is>
      </c>
      <c r="H5" t="inlineStr">
        <is>
          <t xml:space="preserve">Two-week mailbox count, September 2026, extrapolated.</t>
        </is>
      </c>
    </row>
    <row r="6">
      <c r="A6" t="inlineStr">
        <is>
          <t xml:space="preserve">A02</t>
        </is>
      </c>
      <c r="B6" t="inlineStr">
        <is>
          <t xml:space="preserve">Annual volume growth</t>
        </is>
      </c>
      <c r="C6" s="7">
        <v>0.04</v>
      </c>
      <c r="D6" s="2">
        <v>0.02</v>
      </c>
      <c r="E6" s="2">
        <v>0.06</v>
      </c>
      <c r="F6" t="inlineStr">
        <is>
          <t xml:space="preserve">%</t>
        </is>
      </c>
      <c r="G6" t="inlineStr">
        <is>
          <t xml:space="preserve">client plan</t>
        </is>
      </c>
      <c r="H6" t="inlineStr">
        <is>
          <t xml:space="preserve">CFO's 2027-2029 plan.</t>
        </is>
      </c>
    </row>
    <row r="7">
      <c r="A7" t="inlineStr">
        <is>
          <t xml:space="preserve">A03</t>
        </is>
      </c>
      <c r="B7" t="inlineStr">
        <is>
          <t xml:space="preserve">Minutes to key one document today</t>
        </is>
      </c>
      <c r="C7" s="4">
        <v>5.5</v>
      </c>
      <c r="D7">
        <v>4.5</v>
      </c>
      <c r="E7">
        <v>6.5</v>
      </c>
      <c r="F7" t="inlineStr">
        <is>
          <t xml:space="preserve">minutes</t>
        </is>
      </c>
      <c r="G7" t="inlineStr">
        <is>
          <t xml:space="preserve">measured</t>
        </is>
      </c>
      <c r="H7" t="inlineStr">
        <is>
          <t xml:space="preserve">Discovery time study, 60 documents, two clerks.</t>
        </is>
      </c>
    </row>
    <row r="8">
      <c r="A8" t="inlineStr">
        <is>
          <t xml:space="preserve">A04</t>
        </is>
      </c>
      <c r="B8" t="inlineStr">
        <is>
          <t xml:space="preserve">Minutes to review a flagged document</t>
        </is>
      </c>
      <c r="C8" s="4">
        <v>2.5</v>
      </c>
      <c r="D8">
        <v>2.0</v>
      </c>
      <c r="E8">
        <v>3.5</v>
      </c>
      <c r="F8" t="inlineStr">
        <is>
          <t xml:space="preserve">minutes</t>
        </is>
      </c>
      <c r="G8" t="inlineStr">
        <is>
          <t xml:space="preserve">estimate</t>
        </is>
      </c>
      <c r="H8" t="inlineStr">
        <is>
          <t xml:space="preserve">Clerk checks only the flagged fields; to be measured in the first production month.</t>
        </is>
      </c>
    </row>
    <row r="9">
      <c r="A9" t="inlineStr">
        <is>
          <t xml:space="preserve">A05</t>
        </is>
      </c>
      <c r="B9" t="inlineStr">
        <is>
          <t xml:space="preserve">Minutes per straight-through document (sample audit)</t>
        </is>
      </c>
      <c r="C9" s="4">
        <v>0.3</v>
      </c>
      <c r="D9">
        <v>0.2</v>
      </c>
      <c r="E9">
        <v>0.5</v>
      </c>
      <c r="F9" t="inlineStr">
        <is>
          <t xml:space="preserve">minutes</t>
        </is>
      </c>
      <c r="G9" t="inlineStr">
        <is>
          <t xml:space="preserve">design</t>
        </is>
      </c>
      <c r="H9" t="inlineStr">
        <is>
          <t xml:space="preserve">5% random audit of straight-through documents at 6 minutes each.</t>
        </is>
      </c>
    </row>
    <row r="10">
      <c r="A10" t="inlineStr">
        <is>
          <t xml:space="preserve">A06</t>
        </is>
      </c>
      <c r="B10" t="inlineStr">
        <is>
          <t xml:space="preserve">Straight-through rate</t>
        </is>
      </c>
      <c r="C10" s="7">
        <v>0.7</v>
      </c>
      <c r="D10" s="2">
        <v>0.6364</v>
      </c>
      <c r="E10" s="2">
        <v>0.7567</v>
      </c>
      <c r="F10" t="inlineStr">
        <is>
          <t xml:space="preserve">%</t>
        </is>
      </c>
      <c r="G10" t="inlineStr">
        <is>
          <t xml:space="preserve">pilot</t>
        </is>
      </c>
      <c r="H10" t="inlineStr">
        <is>
          <t xml:space="preserve">Test set result; low and high are the 95% confidence interval.</t>
        </is>
      </c>
    </row>
    <row r="11">
      <c r="A11" t="inlineStr">
        <is>
          <t xml:space="preserve">A07</t>
        </is>
      </c>
      <c r="B11" t="inlineStr">
        <is>
          <t xml:space="preserve">Share of documents handled fully by hand</t>
        </is>
      </c>
      <c r="C11" s="7">
        <v>0.0455</v>
      </c>
      <c r="D11" s="2">
        <v>0.0455</v>
      </c>
      <c r="E11" s="2">
        <v>0.0455</v>
      </c>
      <c r="F11" t="inlineStr">
        <is>
          <t xml:space="preserve">%</t>
        </is>
      </c>
      <c r="G11" t="inlineStr">
        <is>
          <t xml:space="preserve">pilot</t>
        </is>
      </c>
      <c r="H11" t="inlineStr">
        <is>
          <t xml:space="preserve">Not freight documents or type unsure.</t>
        </is>
      </c>
    </row>
    <row r="12">
      <c r="A12" t="inlineStr">
        <is>
          <t xml:space="preserve">A08</t>
        </is>
      </c>
      <c r="B12" t="inlineStr">
        <is>
          <t xml:space="preserve">Loaded cost per clerk hour</t>
        </is>
      </c>
      <c r="C12" s="4">
        <v>34</v>
      </c>
      <c r="D12">
        <v>31</v>
      </c>
      <c r="E12">
        <v>37</v>
      </c>
      <c r="F12" t="inlineStr">
        <is>
          <t xml:space="preserve">EUR</t>
        </is>
      </c>
      <c r="G12" t="inlineStr">
        <is>
          <t xml:space="preserve">client finance</t>
        </is>
      </c>
      <c r="H12" t="inlineStr">
        <is>
          <t xml:space="preserve">EUR 52,000 loaded cost per clerk / 1,530 productive hours.</t>
        </is>
      </c>
    </row>
    <row r="13">
      <c r="A13" t="inlineStr">
        <is>
          <t xml:space="preserve">A09</t>
        </is>
      </c>
      <c r="B13" t="inlineStr">
        <is>
          <t xml:space="preserve">Loaded cost per clerk per year</t>
        </is>
      </c>
      <c r="C13" s="4">
        <v>52000</v>
      </c>
      <c r="D13">
        <v>52000</v>
      </c>
      <c r="E13">
        <v>52000</v>
      </c>
      <c r="F13" t="inlineStr">
        <is>
          <t xml:space="preserve">EUR</t>
        </is>
      </c>
      <c r="G13" t="inlineStr">
        <is>
          <t xml:space="preserve">client finance</t>
        </is>
      </c>
      <c r="H13" t="inlineStr">
        <is>
          <t xml:space="preserve">HR, 2026 salary scales plus employer costs.</t>
        </is>
      </c>
    </row>
    <row r="14">
      <c r="A14" t="inlineStr">
        <is>
          <t xml:space="preserve">A10</t>
        </is>
      </c>
      <c r="B14" t="inlineStr">
        <is>
          <t xml:space="preserve">Productive hours per FTE per year</t>
        </is>
      </c>
      <c r="C14" s="4">
        <v>1530</v>
      </c>
      <c r="D14">
        <v>1530</v>
      </c>
      <c r="E14">
        <v>1530</v>
      </c>
      <c r="F14" t="inlineStr">
        <is>
          <t xml:space="preserve">hours</t>
        </is>
      </c>
      <c r="G14" t="inlineStr">
        <is>
          <t xml:space="preserve">client finance</t>
        </is>
      </c>
      <c r="H14" t="inlineStr">
        <is>
          <t xml:space="preserve">HR.</t>
        </is>
      </c>
    </row>
    <row r="15">
      <c r="A15" t="inlineStr">
        <is>
          <t xml:space="preserve">A11</t>
        </is>
      </c>
      <c r="B15" t="inlineStr">
        <is>
          <t xml:space="preserve">Documents with a keying error today</t>
        </is>
      </c>
      <c r="C15" s="7">
        <v>0.021</v>
      </c>
      <c r="D15" s="2">
        <v>0.015</v>
      </c>
      <c r="E15" s="2">
        <v>0.028</v>
      </c>
      <c r="F15" t="inlineStr">
        <is>
          <t xml:space="preserve">%</t>
        </is>
      </c>
      <c r="G15" t="inlineStr">
        <is>
          <t xml:space="preserve">measured</t>
        </is>
      </c>
      <c r="H15" t="inlineStr">
        <is>
          <t xml:space="preserve">Time study: 60 documents double-checked.</t>
        </is>
      </c>
    </row>
    <row r="16">
      <c r="A16" t="inlineStr">
        <is>
          <t xml:space="preserve">A12</t>
        </is>
      </c>
      <c r="B16" t="inlineStr">
        <is>
          <t xml:space="preserve">Cost of one error that reaches operations</t>
        </is>
      </c>
      <c r="C16" s="4">
        <v>60</v>
      </c>
      <c r="D16">
        <v>35</v>
      </c>
      <c r="E16">
        <v>110</v>
      </c>
      <c r="F16" t="inlineStr">
        <is>
          <t xml:space="preserve">EUR</t>
        </is>
      </c>
      <c r="G16" t="inlineStr">
        <is>
          <t xml:space="preserve">estimate</t>
        </is>
      </c>
      <c r="H16" t="inlineStr">
        <is>
          <t xml:space="preserve">Operations and customs leads: rework, customs amendment, share of demurrage. Wide range on purpose.</t>
        </is>
      </c>
    </row>
    <row r="17">
      <c r="A17" t="inlineStr">
        <is>
          <t xml:space="preserve">A13</t>
        </is>
      </c>
      <c r="B17" t="inlineStr">
        <is>
          <t xml:space="preserve">Documents posted with an unflagged error (pilot)</t>
        </is>
      </c>
      <c r="C17" s="7">
        <v>0.0045</v>
      </c>
      <c r="D17" s="2">
        <v>0.0045</v>
      </c>
      <c r="E17" s="2">
        <v>0.0164</v>
      </c>
      <c r="F17" t="inlineStr">
        <is>
          <t xml:space="preserve">%</t>
        </is>
      </c>
      <c r="G17" t="inlineStr">
        <is>
          <t xml:space="preserve">pilot</t>
        </is>
      </c>
      <c r="H17" t="inlineStr">
        <is>
          <t xml:space="preserve">Dev and test sets pooled (440 documents); high is the upper 95% bound.</t>
        </is>
      </c>
    </row>
    <row r="18">
      <c r="A18" t="inlineStr">
        <is>
          <t xml:space="preserve">A14</t>
        </is>
      </c>
      <c r="B18" t="inlineStr">
        <is>
          <t xml:space="preserve">Error rate on reviewed documents, relative to keying</t>
        </is>
      </c>
      <c r="C18" s="4">
        <v>0.3</v>
      </c>
      <c r="D18">
        <v>0.2</v>
      </c>
      <c r="E18">
        <v>0.5</v>
      </c>
      <c r="F18" t="inlineStr">
        <is>
          <t xml:space="preserve">x</t>
        </is>
      </c>
      <c r="G18" t="inlineStr">
        <is>
          <t xml:space="preserve">estimate</t>
        </is>
      </c>
      <c r="H18" t="inlineStr">
        <is>
          <t xml:space="preserve">Clerks check a few flagged fields instead of keying all; fewer chances to slip.</t>
        </is>
      </c>
    </row>
    <row r="19">
      <c r="A19" t="inlineStr">
        <is>
          <t xml:space="preserve">A15</t>
        </is>
      </c>
      <c r="B19" t="inlineStr">
        <is>
          <t xml:space="preserve">One-off cost: production build, TMS integration, change and training</t>
        </is>
      </c>
      <c r="C19" s="4">
        <v>85000</v>
      </c>
      <c r="D19">
        <v>70000</v>
      </c>
      <c r="E19">
        <v>115000</v>
      </c>
      <c r="F19" t="inlineStr">
        <is>
          <t xml:space="preserve">EUR</t>
        </is>
      </c>
      <c r="G19" t="inlineStr">
        <is>
          <t xml:space="preserve">estimate</t>
        </is>
      </c>
      <c r="H19" t="inlineStr">
        <is>
          <t xml:space="preserve">Partner quote range for 10 weeks build and integration plus internal time; pilot cost (EUR 38,000) is sunk and excluded.</t>
        </is>
      </c>
    </row>
    <row r="20">
      <c r="A20" t="inlineStr">
        <is>
          <t xml:space="preserve">A16</t>
        </is>
      </c>
      <c r="B20" t="inlineStr">
        <is>
          <t xml:space="preserve">Run cost per year excluding model usage</t>
        </is>
      </c>
      <c r="C20" s="4">
        <v>19000</v>
      </c>
      <c r="D20">
        <v>15000</v>
      </c>
      <c r="E20">
        <v>26000</v>
      </c>
      <c r="F20" t="inlineStr">
        <is>
          <t xml:space="preserve">EUR</t>
        </is>
      </c>
      <c r="G20" t="inlineStr">
        <is>
          <t xml:space="preserve">estimate</t>
        </is>
      </c>
      <c r="H20" t="inlineStr">
        <is>
          <t xml:space="preserve">Hosting and monitoring EUR 7,000; support and model upkeep (0.1 FTE engineer) EUR 12,000.</t>
        </is>
      </c>
    </row>
    <row r="21">
      <c r="A21" t="inlineStr">
        <is>
          <t xml:space="preserve">A17</t>
        </is>
      </c>
      <c r="B21" t="inlineStr">
        <is>
          <t xml:space="preserve">Input tokens per document</t>
        </is>
      </c>
      <c r="C21" s="4">
        <v>2500</v>
      </c>
      <c r="D21">
        <v>2000</v>
      </c>
      <c r="E21">
        <v>4000</v>
      </c>
      <c r="F21" t="inlineStr">
        <is>
          <t xml:space="preserve">tokens</t>
        </is>
      </c>
      <c r="G21" t="inlineStr">
        <is>
          <t xml:space="preserve">estimate</t>
        </is>
      </c>
      <c r="H21" t="inlineStr">
        <is>
          <t xml:space="preserve">Prompt plus OCR text of a one-page document.</t>
        </is>
      </c>
    </row>
    <row r="22">
      <c r="A22" t="inlineStr">
        <is>
          <t xml:space="preserve">A18</t>
        </is>
      </c>
      <c r="B22" t="inlineStr">
        <is>
          <t xml:space="preserve">Output tokens per document</t>
        </is>
      </c>
      <c r="C22" s="4">
        <v>600</v>
      </c>
      <c r="D22">
        <v>400</v>
      </c>
      <c r="E22">
        <v>1000</v>
      </c>
      <c r="F22" t="inlineStr">
        <is>
          <t xml:space="preserve">tokens</t>
        </is>
      </c>
      <c r="G22" t="inlineStr">
        <is>
          <t xml:space="preserve">estimate</t>
        </is>
      </c>
      <c r="H22" t="inlineStr">
        <is>
          <t xml:space="preserve">Structured JSON with 6-11 fields.</t>
        </is>
      </c>
    </row>
    <row r="23">
      <c r="A23" t="inlineStr">
        <is>
          <t xml:space="preserve">A19</t>
        </is>
      </c>
      <c r="B23" t="inlineStr">
        <is>
          <t xml:space="preserve">Model price, input (claude-opus-5-5)</t>
        </is>
      </c>
      <c r="C23" s="4">
        <v>4.0</v>
      </c>
      <c r="D23">
        <v>4.0</v>
      </c>
      <c r="E23">
        <v>4.0</v>
      </c>
      <c r="F23" t="inlineStr">
        <is>
          <t xml:space="preserve">USD per million tokens</t>
        </is>
      </c>
      <c r="G23" t="inlineStr">
        <is>
          <t xml:space="preserve">vendor price list</t>
        </is>
      </c>
      <c r="H23" t="inlineStr">
        <is>
          <t xml:space="preserve">Anthropic list price, October 2026.</t>
        </is>
      </c>
    </row>
    <row r="24">
      <c r="A24" t="inlineStr">
        <is>
          <t xml:space="preserve">A20</t>
        </is>
      </c>
      <c r="B24" t="inlineStr">
        <is>
          <t xml:space="preserve">Model price, output (claude-opus-5-5)</t>
        </is>
      </c>
      <c r="C24" s="4">
        <v>20.0</v>
      </c>
      <c r="D24">
        <v>20.0</v>
      </c>
      <c r="E24">
        <v>20.0</v>
      </c>
      <c r="F24" t="inlineStr">
        <is>
          <t xml:space="preserve">USD per million tokens</t>
        </is>
      </c>
      <c r="G24" t="inlineStr">
        <is>
          <t xml:space="preserve">vendor price list</t>
        </is>
      </c>
      <c r="H24" t="inlineStr">
        <is>
          <t xml:space="preserve">Anthropic list price, October 2026.</t>
        </is>
      </c>
    </row>
    <row r="25">
      <c r="A25" t="inlineStr">
        <is>
          <t xml:space="preserve">A21</t>
        </is>
      </c>
      <c r="B25" t="inlineStr">
        <is>
          <t xml:space="preserve">Exchange rate</t>
        </is>
      </c>
      <c r="C25" s="4">
        <v>0.9</v>
      </c>
      <c r="D25">
        <v>0.85</v>
      </c>
      <c r="E25">
        <v>0.95</v>
      </c>
      <c r="F25" t="inlineStr">
        <is>
          <t xml:space="preserve">EUR per USD</t>
        </is>
      </c>
      <c r="G25" t="inlineStr">
        <is>
          <t xml:space="preserve">assumption</t>
        </is>
      </c>
      <c r="H25" t="inlineStr">
        <is>
          <t xml:space="preserve">Rounded.</t>
        </is>
      </c>
    </row>
    <row r="26">
      <c r="A26" t="inlineStr">
        <is>
          <t xml:space="preserve">A22</t>
        </is>
      </c>
      <c r="B26" t="inlineStr">
        <is>
          <t xml:space="preserve">Share of steady-state benefit reached in year 1</t>
        </is>
      </c>
      <c r="C26" s="7">
        <v>0.6</v>
      </c>
      <c r="D26" s="2">
        <v>0.4</v>
      </c>
      <c r="E26" s="2">
        <v>0.75</v>
      </c>
      <c r="F26" t="inlineStr">
        <is>
          <t xml:space="preserve">%</t>
        </is>
      </c>
      <c r="G26" t="inlineStr">
        <is>
          <t xml:space="preserve">assumption</t>
        </is>
      </c>
      <c r="H26" t="inlineStr">
        <is>
          <t xml:space="preserve">Go-live in month 5 of the roadmap, document types switched on one by one.</t>
        </is>
      </c>
    </row>
    <row r="27">
      <c r="A27" t="inlineStr">
        <is>
          <t xml:space="preserve">A23</t>
        </is>
      </c>
      <c r="B27" t="inlineStr">
        <is>
          <t xml:space="preserve">Doc desk leavers per year not replaced</t>
        </is>
      </c>
      <c r="C27" s="4">
        <v>0.5</v>
      </c>
      <c r="D27">
        <v>0.0</v>
      </c>
      <c r="E27">
        <v>1.0</v>
      </c>
      <c r="F27" t="inlineStr">
        <is>
          <t xml:space="preserve">FTE</t>
        </is>
      </c>
      <c r="G27" t="inlineStr">
        <is>
          <t xml:space="preserve">client HR</t>
        </is>
      </c>
      <c r="H27" t="inlineStr">
        <is>
          <t xml:space="preserve">Average 1.4 leavers a year over 2023-2025. Agreed with HR and the works council: no redundancies; every second leaver is not replaced while the pilot scales.</t>
        </is>
      </c>
    </row>
    <row r="28">
      <c r="A28" t="inlineStr">
        <is>
          <t xml:space="preserve">A24</t>
        </is>
      </c>
      <c r="B28" t="inlineStr">
        <is>
          <t xml:space="preserve">Discount rate</t>
        </is>
      </c>
      <c r="C28" s="7">
        <v>0.08</v>
      </c>
      <c r="D28" s="2">
        <v>0.08</v>
      </c>
      <c r="E28" s="2">
        <v>0.08</v>
      </c>
      <c r="F28" t="inlineStr">
        <is>
          <t xml:space="preserve">%</t>
        </is>
      </c>
      <c r="G28" t="inlineStr">
        <is>
          <t xml:space="preserve">client finance</t>
        </is>
      </c>
      <c r="H28" t="inlineStr">
        <is>
          <t xml:space="preserve">CFO's hurdle rate.</t>
        </is>
      </c>
    </row>
    <row r="30">
      <c r="B30" t="inlineStr">
        <is>
          <t xml:space="preserve">Doc desk headcount (FTE)</t>
        </is>
      </c>
      <c r="C30" s="4">
        <v>11</v>
      </c>
    </row>
  </sheetData>
</worksheet>
</file>

<file path=xl/worksheets/sheet2.xml><?xml version="1.0" encoding="utf-8"?>
<worksheet xmlns="http://schemas.openxmlformats.org/spreadsheetml/2006/main">
  <cols>
    <col min="1" max="1" width="48" customWidth="1"/>
    <col min="2" max="2" width="14" customWidth="1"/>
    <col min="3" max="3" width="14" customWidth="1"/>
    <col min="4" max="4" width="14" customWidth="1"/>
  </cols>
  <sheetData>
    <row r="1">
      <c r="A1" s="8" t="inlineStr">
        <is>
          <t xml:space="preserve">Calculation (do not edit; change Inputs)</t>
        </is>
      </c>
    </row>
    <row r="3">
      <c r="A3" s="1" t="inlineStr">
        <is>
          <t xml:space="preserve"/>
        </is>
      </c>
      <c r="B3" s="1" t="inlineStr">
        <is>
          <t xml:space="preserve">Year 1</t>
        </is>
      </c>
      <c r="C3" s="1" t="inlineStr">
        <is>
          <t xml:space="preserve">Year 2</t>
        </is>
      </c>
      <c r="D3" s="1" t="inlineStr">
        <is>
          <t xml:space="preserve">Year 3</t>
        </is>
      </c>
    </row>
    <row r="4">
      <c r="A4" t="inlineStr">
        <is>
          <t xml:space="preserve">Year</t>
        </is>
      </c>
      <c r="B4">
        <v>1</v>
      </c>
      <c r="C4">
        <v>2</v>
      </c>
      <c r="D4">
        <v>3</v>
      </c>
    </row>
    <row r="5">
      <c r="A5" t="inlineStr">
        <is>
          <t xml:space="preserve">Review rate</t>
        </is>
      </c>
      <c r="B5" s="2">
        <f>1-Inputs!$C$10-Inputs!$C$11</f>
      </c>
    </row>
    <row r="6">
      <c r="A6" t="inlineStr">
        <is>
          <t xml:space="preserve">Minutes per document after</t>
        </is>
      </c>
      <c r="B6" s="10">
        <f>Inputs!$C$10*Inputs!$C$9+B5*Inputs!$C$8+Inputs!$C$11*Inputs!$C$7</f>
      </c>
    </row>
    <row r="7">
      <c r="A7" t="inlineStr">
        <is>
          <t xml:space="preserve">Minutes saved per document</t>
        </is>
      </c>
      <c r="B7" s="10">
        <f>Inputs!$C$7-B6</f>
      </c>
    </row>
    <row r="8">
      <c r="A8" t="inlineStr">
        <is>
          <t xml:space="preserve">Error rate after</t>
        </is>
      </c>
      <c r="B8" s="2">
        <f>Inputs!$C$17+B5*Inputs!$C$15*Inputs!$C$18+Inputs!$C$11*Inputs!$C$15</f>
      </c>
    </row>
    <row r="9">
      <c r="A9" t="inlineStr">
        <is>
          <t xml:space="preserve">Model cost per document (EUR)</t>
        </is>
      </c>
      <c r="B9" s="10">
        <f>(Inputs!$C$21*Inputs!$C$23+Inputs!$C$22*Inputs!$C$24)/1000000*Inputs!$C$25</f>
      </c>
    </row>
    <row r="10">
      <c r="A10" t="inlineStr">
        <is>
          <t xml:space="preserve">Documents</t>
        </is>
      </c>
      <c r="B10" s="5">
        <f>12*Inputs!$C$5*(1+Inputs!$C$6)^(B4-1)</f>
      </c>
      <c r="C10" s="5">
        <f>12*Inputs!$C$5*(1+Inputs!$C$6)^(C4-1)</f>
      </c>
      <c r="D10" s="5">
        <f>12*Inputs!$C$5*(1+Inputs!$C$6)^(D4-1)</f>
      </c>
    </row>
    <row r="11">
      <c r="A11" t="inlineStr">
        <is>
          <t xml:space="preserve">Ramp</t>
        </is>
      </c>
      <c r="B11" s="2">
        <f>IF(B4=1,Inputs!$C$26,1)</f>
      </c>
      <c r="C11" s="2">
        <f>IF(C4=1,Inputs!$C$26,1)</f>
      </c>
      <c r="D11" s="2">
        <f>IF(D4=1,Inputs!$C$26,1)</f>
      </c>
    </row>
    <row r="12">
      <c r="A12" t="inlineStr">
        <is>
          <t xml:space="preserve">Clerk hours freed</t>
        </is>
      </c>
      <c r="B12" s="5">
        <f>B10*$B$7/60*B11</f>
      </c>
      <c r="C12" s="5">
        <f>C10*$B$7/60*C11</f>
      </c>
      <c r="D12" s="5">
        <f>D10*$B$7/60*D11</f>
      </c>
    </row>
    <row r="13">
      <c r="A13" t="inlineStr">
        <is>
          <t xml:space="preserve">FTE freed</t>
        </is>
      </c>
      <c r="B13" s="10">
        <f>B12/Inputs!$C$14</f>
      </c>
      <c r="C13" s="10">
        <f>C12/Inputs!$C$14</f>
      </c>
      <c r="D13" s="10">
        <f>D12/Inputs!$C$14</f>
      </c>
    </row>
    <row r="14">
      <c r="A14" t="inlineStr">
        <is>
          <t xml:space="preserve">Hires avoided (growth + leavers not replaced)</t>
        </is>
      </c>
      <c r="B14" s="10">
        <f>Inputs!$C$30*((1+Inputs!$C$6)^B4-1)+Inputs!$C$27*B4</f>
      </c>
      <c r="C14" s="10">
        <f>Inputs!$C$30*((1+Inputs!$C$6)^C4-1)+Inputs!$C$27*C4</f>
      </c>
      <c r="D14" s="10">
        <f>Inputs!$C$30*((1+Inputs!$C$6)^D4-1)+Inputs!$C$27*D4</f>
      </c>
    </row>
    <row r="15">
      <c r="A15" t="inlineStr">
        <is>
          <t xml:space="preserve">FTE leaving the cost base (cash view)</t>
        </is>
      </c>
      <c r="B15" s="10">
        <f>MIN(B13,B14)</f>
      </c>
      <c r="C15" s="10">
        <f>MIN(C13,C14)</f>
      </c>
      <c r="D15" s="10">
        <f>MIN(D13,D14)</f>
      </c>
    </row>
    <row r="16">
      <c r="A16" t="inlineStr">
        <is>
          <t xml:space="preserve">Errors avoided</t>
        </is>
      </c>
      <c r="B16" s="5">
        <f>B10*(Inputs!$C$15-$B$8)*B11</f>
      </c>
      <c r="C16" s="5">
        <f>C10*(Inputs!$C$15-$B$8)*C11</f>
      </c>
      <c r="D16" s="5">
        <f>D10*(Inputs!$C$15-$B$8)*D11</f>
      </c>
    </row>
    <row r="17">
      <c r="A17" t="inlineStr">
        <is>
          <t xml:space="preserve">Capacity value</t>
        </is>
      </c>
      <c r="B17" s="3">
        <f>B12*Inputs!$C$12</f>
      </c>
      <c r="C17" s="3">
        <f>C12*Inputs!$C$12</f>
      </c>
      <c r="D17" s="3">
        <f>D12*Inputs!$C$12</f>
      </c>
    </row>
    <row r="18">
      <c r="A18" t="inlineStr">
        <is>
          <t xml:space="preserve">Cash labour value</t>
        </is>
      </c>
      <c r="B18" s="3">
        <f>B15*Inputs!$C$13</f>
      </c>
      <c r="C18" s="3">
        <f>C15*Inputs!$C$13</f>
      </c>
      <c r="D18" s="3">
        <f>D15*Inputs!$C$13</f>
      </c>
    </row>
    <row r="19">
      <c r="A19" t="inlineStr">
        <is>
          <t xml:space="preserve">Error cost avoided</t>
        </is>
      </c>
      <c r="B19" s="3">
        <f>B16*Inputs!$C$16</f>
      </c>
      <c r="C19" s="3">
        <f>C16*Inputs!$C$16</f>
      </c>
      <c r="D19" s="3">
        <f>D16*Inputs!$C$16</f>
      </c>
    </row>
    <row r="20">
      <c r="A20" t="inlineStr">
        <is>
          <t xml:space="preserve">Run cost incl. model usage</t>
        </is>
      </c>
      <c r="B20" s="3">
        <f>Inputs!$C$20+B10*$B$9</f>
      </c>
      <c r="C20" s="3">
        <f>Inputs!$C$20+C10*$B$9</f>
      </c>
      <c r="D20" s="3">
        <f>Inputs!$C$20+D10*$B$9</f>
      </c>
    </row>
    <row r="21">
      <c r="A21" t="inlineStr">
        <is>
          <t xml:space="preserve">Net, capacity view</t>
        </is>
      </c>
      <c r="B21" s="9">
        <f>B17+B19-B20</f>
      </c>
      <c r="C21" s="9">
        <f>C17+C19-C20</f>
      </c>
      <c r="D21" s="9">
        <f>D17+D19-D20</f>
      </c>
    </row>
    <row r="22">
      <c r="A22" t="inlineStr">
        <is>
          <t xml:space="preserve">Net, cash view</t>
        </is>
      </c>
      <c r="B22" s="9">
        <f>B18+B19-B20</f>
      </c>
      <c r="C22" s="9">
        <f>C18+C19-C20</f>
      </c>
      <c r="D22" s="9">
        <f>D18+D19-D20</f>
      </c>
    </row>
    <row r="24">
      <c r="A24" s="1" t="inlineStr">
        <is>
          <t xml:space="preserve">One-off cost</t>
        </is>
      </c>
      <c r="B24" s="3">
        <f>Inputs!$C$19</f>
      </c>
    </row>
    <row r="25">
      <c r="A25" s="1" t="inlineStr">
        <is>
          <t xml:space="preserve">NPV, capacity view</t>
        </is>
      </c>
      <c r="B25" s="9">
        <f>-B24+NPV(Inputs!$C$28,B21:D21)</f>
      </c>
    </row>
    <row r="26">
      <c r="A26" s="1" t="inlineStr">
        <is>
          <t xml:space="preserve">NPV, cash view</t>
        </is>
      </c>
      <c r="B26" s="9">
        <f>-B24+NPV(Inputs!$C$28,B22:D22)</f>
      </c>
    </row>
    <row r="27">
      <c r="A27" t="inlineStr">
        <is>
          <t xml:space="preserve">3-year ROI, cash view</t>
        </is>
      </c>
      <c r="B27" s="2">
        <f>(SUM(B22:D22)-B24)/B24</f>
      </c>
    </row>
    <row r="29">
      <c r="A29" t="inlineStr">
        <is>
          <t xml:space="preserve">Reference values from the Python model: NPV cash €188,729, NPV capacity €232,249. With the base inputs Excel shows the same, give or take rounding.</t>
        </is>
      </c>
    </row>
  </sheetData>
</worksheet>
</file>