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card" sheetId="1" r:id="rId1"/>
    <sheet name="Summary" sheetId="2" r:id="rId2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€&quot;#,##0"/>
    <numFmt numFmtId="165" formatCode="0.0%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0" fontId="1" fillId="3" borderId="0" xfId="0" applyFont="1" applyFill="1"/>
    <xf numFmtId="165" fontId="0" fillId="0" borderId="0" xfId="0" applyNumberFormat="1"/>
    <xf numFmtId="164" fontId="0" fillId="0" borderId="0" xfId="0" applyNumberFormat="1"/>
    <xf numFmtId="0" fontId="0" fillId="2" borderId="0" xfId="0" applyFill="1"/>
    <xf numFmtId="3" fontId="0" fillId="0" borderId="0" xfId="0" applyNumberFormat="1"/>
    <xf numFmtId="0" fontId="0" fillId="0" borderId="0" xfId="0" applyAlignment="1">
      <alignment wrapText="1" vertical="top"/>
    </xf>
    <xf numFmtId="165" fontId="0" fillId="2" borderId="0" xfId="0" applyNumberFormat="1" applyFill="1"/>
    <xf numFmtId="0" fontId="2" fillId="0" borderId="0" xfId="0" applyFont="1"/>
    <xf numFmtId="164" fontId="1" fillId="0" borderId="0" xfId="0" applyNumberFormat="1" applyFont="1"/>
    <xf numFmtId="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6" customWidth="1"/>
    <col min="2" max="2" width="26" customWidth="1"/>
    <col min="3" max="3" width="58" customWidth="1"/>
    <col min="4" max="4" width="9" customWidth="1"/>
    <col min="5" max="5" width="9" customWidth="1"/>
    <col min="6" max="6" width="8" customWidth="1"/>
    <col min="7" max="7" width="90" customWidth="1"/>
  </cols>
  <sheetData>
    <row r="1">
      <c r="A1" s="8" t="inlineStr">
        <is>
          <t xml:space="preserve">AI readiness scorecard: Wendelkaai Logistics (fictional)</t>
        </is>
      </c>
    </row>
    <row r="2">
      <c r="A2" t="inlineStr">
        <is>
          <t xml:space="preserve">Yellow cells are inputs (1-5). Gap and summary update automatically.</t>
        </is>
      </c>
    </row>
    <row r="4">
      <c r="A4" s="1" t="inlineStr">
        <is>
          <t xml:space="preserve">#</t>
        </is>
      </c>
      <c r="B4" s="1" t="inlineStr">
        <is>
          <t xml:space="preserve">Dimension</t>
        </is>
      </c>
      <c r="C4" s="1" t="inlineStr">
        <is>
          <t xml:space="preserve">Question</t>
        </is>
      </c>
      <c r="D4" s="1" t="inlineStr">
        <is>
          <t xml:space="preserve">Today</t>
        </is>
      </c>
      <c r="E4" s="1" t="inlineStr">
        <is>
          <t xml:space="preserve">Target</t>
        </is>
      </c>
      <c r="F4" s="1" t="inlineStr">
        <is>
          <t xml:space="preserve">Gap</t>
        </is>
      </c>
      <c r="G4" s="1" t="inlineStr">
        <is>
          <t xml:space="preserve">Evidence</t>
        </is>
      </c>
    </row>
    <row r="5">
      <c r="A5" t="inlineStr">
        <is>
          <t xml:space="preserve">S1</t>
        </is>
      </c>
      <c r="B5" t="inlineStr">
        <is>
          <t xml:space="preserve">Strategy &amp; leadership</t>
        </is>
      </c>
      <c r="C5" t="inlineStr">
        <is>
          <t xml:space="preserve">AI ambition is linked to named business goals</t>
        </is>
      </c>
      <c r="D5" s="4">
        <v>2</v>
      </c>
      <c r="E5" s="4">
        <v>4</v>
      </c>
      <c r="F5">
        <f>E5-D5</f>
      </c>
      <c r="G5" s="6" t="inlineStr">
        <is>
          <t xml:space="preserve">The board asked for 'an AI plan'; no goals or KPIs attached. The 2027 business plan names margin pressure and doc desk hiring problems, not AI.</t>
        </is>
      </c>
    </row>
    <row r="6">
      <c r="A6" t="inlineStr">
        <is>
          <t xml:space="preserve">S2</t>
        </is>
      </c>
      <c r="B6" t="inlineStr">
        <is>
          <t xml:space="preserve">Strategy &amp; leadership</t>
        </is>
      </c>
      <c r="C6" t="inlineStr">
        <is>
          <t xml:space="preserve">An executive sponsor owns AI and has a budget</t>
        </is>
      </c>
      <c r="D6" s="4">
        <v>2</v>
      </c>
      <c r="E6" s="4">
        <v>4</v>
      </c>
      <c r="F6">
        <f>E6-D6</f>
      </c>
      <c r="G6" s="6" t="inlineStr">
        <is>
          <t xml:space="preserve">The CEO sponsors informally; no budget line. IT funds tool trials from its own budget.</t>
        </is>
      </c>
    </row>
    <row r="7">
      <c r="A7" t="inlineStr">
        <is>
          <t xml:space="preserve">S3</t>
        </is>
      </c>
      <c r="B7" t="inlineStr">
        <is>
          <t xml:space="preserve">Strategy &amp; leadership</t>
        </is>
      </c>
      <c r="C7" t="inlineStr">
        <is>
          <t xml:space="preserve">AI initiatives are managed as one portfolio</t>
        </is>
      </c>
      <c r="D7" s="4">
        <v>1</v>
      </c>
      <c r="E7" s="4">
        <v>3</v>
      </c>
      <c r="F7">
        <f>E7-D7</f>
      </c>
      <c r="G7" s="6" t="inlineStr">
        <is>
          <t xml:space="preserve">Three unconnected experiments found (sales ChatGPT prompts, a customs Excel macro with an AI add-in, a warehouse vendor demo). Nobody had an overview.</t>
        </is>
      </c>
    </row>
    <row r="8">
      <c r="A8" t="inlineStr">
        <is>
          <t xml:space="preserve">S4</t>
        </is>
      </c>
      <c r="B8" t="inlineStr">
        <is>
          <t xml:space="preserve">Strategy &amp; leadership</t>
        </is>
      </c>
      <c r="C8" t="inlineStr">
        <is>
          <t xml:space="preserve">Value is measured against a baseline</t>
        </is>
      </c>
      <c r="D8" s="4">
        <v>2</v>
      </c>
      <c r="E8" s="4">
        <v>4</v>
      </c>
      <c r="F8">
        <f>E8-D8</f>
      </c>
      <c r="G8" s="6" t="inlineStr">
        <is>
          <t xml:space="preserve">Doc desk volumes are counted per month; handling time and error rates were never measured before the discovery time study.</t>
        </is>
      </c>
    </row>
    <row r="9">
      <c r="A9" t="inlineStr">
        <is>
          <t xml:space="preserve">S5</t>
        </is>
      </c>
      <c r="B9" t="inlineStr">
        <is>
          <t xml:space="preserve">Strategy &amp; leadership</t>
        </is>
      </c>
      <c r="C9" t="inlineStr">
        <is>
          <t xml:space="preserve">There is a view on partners and buy versus build</t>
        </is>
      </c>
      <c r="D9" s="4">
        <v>2</v>
      </c>
      <c r="E9" s="4">
        <v>3</v>
      </c>
      <c r="F9">
        <f>E9-D9</f>
      </c>
      <c r="G9" s="6" t="inlineStr">
        <is>
          <t xml:space="preserve">IT prefers the TMS vendor's roadmap; operations wants faster results. No criteria to decide.</t>
        </is>
      </c>
    </row>
    <row r="10">
      <c r="A10" t="inlineStr">
        <is>
          <t xml:space="preserve">D1</t>
        </is>
      </c>
      <c r="B10" t="inlineStr">
        <is>
          <t xml:space="preserve">Data foundations</t>
        </is>
      </c>
      <c r="C10" t="inlineStr">
        <is>
          <t xml:space="preserve">Data domains have named owners</t>
        </is>
      </c>
      <c r="D10" s="4">
        <v>1</v>
      </c>
      <c r="E10" s="4">
        <v>3</v>
      </c>
      <c r="F10">
        <f>E10-D10</f>
      </c>
      <c r="G10" s="6" t="inlineStr">
        <is>
          <t xml:space="preserve">Customer and location master data are edited by whoever needs a change. No owner for document data.</t>
        </is>
      </c>
    </row>
    <row r="11">
      <c r="A11" t="inlineStr">
        <is>
          <t xml:space="preserve">D2</t>
        </is>
      </c>
      <c r="B11" t="inlineStr">
        <is>
          <t xml:space="preserve">Data foundations</t>
        </is>
      </c>
      <c r="C11" t="inlineStr">
        <is>
          <t xml:space="preserve">Core master data is of usable quality</t>
        </is>
      </c>
      <c r="D11" s="4">
        <v>2</v>
      </c>
      <c r="E11" s="4">
        <v>3</v>
      </c>
      <c r="F11">
        <f>E11-D11</f>
      </c>
      <c r="G11" s="6" t="inlineStr">
        <is>
          <t xml:space="preserve">Sample of 200 customer records: 14% duplicates, 9% missing VAT or EORI.</t>
        </is>
      </c>
    </row>
    <row r="12">
      <c r="A12" t="inlineStr">
        <is>
          <t xml:space="preserve">D3</t>
        </is>
      </c>
      <c r="B12" t="inlineStr">
        <is>
          <t xml:space="preserve">Data foundations</t>
        </is>
      </c>
      <c r="C12" t="inlineStr">
        <is>
          <t xml:space="preserve">Documents are available digitally</t>
        </is>
      </c>
      <c r="D12" s="4">
        <v>3</v>
      </c>
      <c r="E12" s="4">
        <v>4</v>
      </c>
      <c r="F12">
        <f>E12-D12</f>
      </c>
      <c r="G12" s="6" t="inlineStr">
        <is>
          <t xml:space="preserve">90% of documents arrive as PDF by e-mail; the rest is scanned at the desk. Archive in the TMS document store, 7 years.</t>
        </is>
      </c>
    </row>
    <row r="13">
      <c r="A13" t="inlineStr">
        <is>
          <t xml:space="preserve">D4</t>
        </is>
      </c>
      <c r="B13" t="inlineStr">
        <is>
          <t xml:space="preserve">Data foundations</t>
        </is>
      </c>
      <c r="C13" t="inlineStr">
        <is>
          <t xml:space="preserve">Labelled historical data exists to evaluate AI</t>
        </is>
      </c>
      <c r="D13" s="4">
        <v>1</v>
      </c>
      <c r="E13" s="4">
        <v>3</v>
      </c>
      <c r="F13">
        <f>E13-D13</f>
      </c>
      <c r="G13" s="6" t="inlineStr">
        <is>
          <t xml:space="preserve">None before the pilot. The pilot built the first labelled sets (2 x 220 documents).</t>
        </is>
      </c>
    </row>
    <row r="14">
      <c r="A14" t="inlineStr">
        <is>
          <t xml:space="preserve">D5</t>
        </is>
      </c>
      <c r="B14" t="inlineStr">
        <is>
          <t xml:space="preserve">Data foundations</t>
        </is>
      </c>
      <c r="C14" t="inlineStr">
        <is>
          <t xml:space="preserve">Core systems can be reached through APIs</t>
        </is>
      </c>
      <c r="D14" s="4">
        <v>2</v>
      </c>
      <c r="E14" s="4">
        <v>4</v>
      </c>
      <c r="F14">
        <f>E14-D14</f>
      </c>
      <c r="G14" s="6" t="inlineStr">
        <is>
          <t xml:space="preserve">The TMS has an import API for bookings, undocumented for documents; the ERP only exports files overnight.</t>
        </is>
      </c>
    </row>
    <row r="15">
      <c r="A15" t="inlineStr">
        <is>
          <t xml:space="preserve">T1</t>
        </is>
      </c>
      <c r="B15" t="inlineStr">
        <is>
          <t xml:space="preserve">Technology &amp; tooling</t>
        </is>
      </c>
      <c r="C15" t="inlineStr">
        <is>
          <t xml:space="preserve">Cloud platform and identity are in place</t>
        </is>
      </c>
      <c r="D15" s="4">
        <v>3</v>
      </c>
      <c r="E15" s="4">
        <v>4</v>
      </c>
      <c r="F15">
        <f>E15-D15</f>
      </c>
      <c r="G15" s="6" t="inlineStr">
        <is>
          <t xml:space="preserve">Microsoft 365 and Entra ID for all staff; one Azure subscription used for backups.</t>
        </is>
      </c>
    </row>
    <row r="16">
      <c r="A16" t="inlineStr">
        <is>
          <t xml:space="preserve">T2</t>
        </is>
      </c>
      <c r="B16" t="inlineStr">
        <is>
          <t xml:space="preserve">Technology &amp; tooling</t>
        </is>
      </c>
      <c r="C16" t="inlineStr">
        <is>
          <t xml:space="preserve">Staff have sanctioned AI tools</t>
        </is>
      </c>
      <c r="D16" s="4">
        <v>2</v>
      </c>
      <c r="E16" s="4">
        <v>4</v>
      </c>
      <c r="F16">
        <f>E16-D16</f>
      </c>
      <c r="G16" s="6" t="inlineStr">
        <is>
          <t xml:space="preserve">No approved tool; the staff survey shows 38% use public chatbots for work, including with customer data.</t>
        </is>
      </c>
    </row>
    <row r="17">
      <c r="A17" t="inlineStr">
        <is>
          <t xml:space="preserve">T3</t>
        </is>
      </c>
      <c r="B17" t="inlineStr">
        <is>
          <t xml:space="preserve">Technology &amp; tooling</t>
        </is>
      </c>
      <c r="C17" t="inlineStr">
        <is>
          <t xml:space="preserve">An AI orchestration layer exists (model access, prompts, logging, evaluation)</t>
        </is>
      </c>
      <c r="D17" s="4">
        <v>1</v>
      </c>
      <c r="E17" s="4">
        <v>3</v>
      </c>
      <c r="F17">
        <f>E17-D17</f>
      </c>
      <c r="G17" s="6" t="inlineStr">
        <is>
          <t xml:space="preserve">None. Each experiment calls its own tool directly.</t>
        </is>
      </c>
    </row>
    <row r="18">
      <c r="A18" t="inlineStr">
        <is>
          <t xml:space="preserve">T4</t>
        </is>
      </c>
      <c r="B18" t="inlineStr">
        <is>
          <t xml:space="preserve">Technology &amp; tooling</t>
        </is>
      </c>
      <c r="C18" t="inlineStr">
        <is>
          <t xml:space="preserve">Systems are monitored in a way AI can plug into</t>
        </is>
      </c>
      <c r="D18" s="4">
        <v>2</v>
      </c>
      <c r="E18" s="4">
        <v>3</v>
      </c>
      <c r="F18">
        <f>E18-D18</f>
      </c>
      <c r="G18" s="6" t="inlineStr">
        <is>
          <t xml:space="preserve">Infrastructure monitoring exists; no application or business-level monitoring.</t>
        </is>
      </c>
    </row>
    <row r="19">
      <c r="A19" t="inlineStr">
        <is>
          <t xml:space="preserve">T5</t>
        </is>
      </c>
      <c r="B19" t="inlineStr">
        <is>
          <t xml:space="preserve">Technology &amp; tooling</t>
        </is>
      </c>
      <c r="C19" t="inlineStr">
        <is>
          <t xml:space="preserve">Security baseline is mature</t>
        </is>
      </c>
      <c r="D19" s="4">
        <v>3</v>
      </c>
      <c r="E19" s="4">
        <v>4</v>
      </c>
      <c r="F19">
        <f>E19-D19</f>
      </c>
      <c r="G19" s="6" t="inlineStr">
        <is>
          <t xml:space="preserve">ISO/IEC 27001 certified for IT services and customs data since 2024; supplier assessments are done, but not for AI services.</t>
        </is>
      </c>
    </row>
    <row r="20">
      <c r="A20" t="inlineStr">
        <is>
          <t xml:space="preserve">G1</t>
        </is>
      </c>
      <c r="B20" t="inlineStr">
        <is>
          <t xml:space="preserve">Governance, risk &amp; compliance</t>
        </is>
      </c>
      <c r="C20" t="inlineStr">
        <is>
          <t xml:space="preserve">An AI policy says what is allowed</t>
        </is>
      </c>
      <c r="D20" s="4">
        <v>1</v>
      </c>
      <c r="E20" s="4">
        <v>4</v>
      </c>
      <c r="F20">
        <f>E20-D20</f>
      </c>
      <c r="G20" s="6" t="inlineStr">
        <is>
          <t xml:space="preserve">No AI policy. The acceptable-use policy predates generative AI.</t>
        </is>
      </c>
    </row>
    <row r="21">
      <c r="A21" t="inlineStr">
        <is>
          <t xml:space="preserve">G2</t>
        </is>
      </c>
      <c r="B21" t="inlineStr">
        <is>
          <t xml:space="preserve">Governance, risk &amp; compliance</t>
        </is>
      </c>
      <c r="C21" t="inlineStr">
        <is>
          <t xml:space="preserve">AI systems are inventoried and classified (EU AI Act)</t>
        </is>
      </c>
      <c r="D21" s="4">
        <v>1</v>
      </c>
      <c r="E21" s="4">
        <v>4</v>
      </c>
      <c r="F21">
        <f>E21-D21</f>
      </c>
      <c r="G21" s="6" t="inlineStr">
        <is>
          <t xml:space="preserve">No inventory. The three experiments were found during interviews.</t>
        </is>
      </c>
    </row>
    <row r="22">
      <c r="A22" t="inlineStr">
        <is>
          <t xml:space="preserve">G3</t>
        </is>
      </c>
      <c r="B22" t="inlineStr">
        <is>
          <t xml:space="preserve">Governance, risk &amp; compliance</t>
        </is>
      </c>
      <c r="C22" t="inlineStr">
        <is>
          <t xml:space="preserve">Human oversight and accountability are designed in</t>
        </is>
      </c>
      <c r="D22" s="4">
        <v>2</v>
      </c>
      <c r="E22" s="4">
        <v>4</v>
      </c>
      <c r="F22">
        <f>E22-D22</f>
      </c>
      <c r="G22" s="6" t="inlineStr">
        <is>
          <t xml:space="preserve">Four-eyes checks exist for customs declarations; no rules for AI output.</t>
        </is>
      </c>
    </row>
    <row r="23">
      <c r="A23" t="inlineStr">
        <is>
          <t xml:space="preserve">G4</t>
        </is>
      </c>
      <c r="B23" t="inlineStr">
        <is>
          <t xml:space="preserve">Governance, risk &amp; compliance</t>
        </is>
      </c>
      <c r="C23" t="inlineStr">
        <is>
          <t xml:space="preserve">Privacy reviews (GDPR, DPIA) are routine</t>
        </is>
      </c>
      <c r="D23" s="4">
        <v>3</v>
      </c>
      <c r="E23" s="4">
        <v>4</v>
      </c>
      <c r="F23">
        <f>E23-D23</f>
      </c>
      <c r="G23" s="6" t="inlineStr">
        <is>
          <t xml:space="preserve">External DPO; DPIAs done for CCTV and telematics. Process exists, never applied to AI.</t>
        </is>
      </c>
    </row>
    <row r="24">
      <c r="A24" t="inlineStr">
        <is>
          <t xml:space="preserve">G5</t>
        </is>
      </c>
      <c r="B24" t="inlineStr">
        <is>
          <t xml:space="preserve">Governance, risk &amp; compliance</t>
        </is>
      </c>
      <c r="C24" t="inlineStr">
        <is>
          <t xml:space="preserve">Vendor and model risk is managed</t>
        </is>
      </c>
      <c r="D24" s="4">
        <v>2</v>
      </c>
      <c r="E24" s="4">
        <v>3</v>
      </c>
      <c r="F24">
        <f>E24-D24</f>
      </c>
      <c r="G24" s="6" t="inlineStr">
        <is>
          <t xml:space="preserve">Supplier register exists; no criteria for data use, retention or model changes at AI vendors.</t>
        </is>
      </c>
    </row>
    <row r="25">
      <c r="A25" t="inlineStr">
        <is>
          <t xml:space="preserve">P1</t>
        </is>
      </c>
      <c r="B25" t="inlineStr">
        <is>
          <t xml:space="preserve">People &amp; skills</t>
        </is>
      </c>
      <c r="C25" t="inlineStr">
        <is>
          <t xml:space="preserve">Staff understand what AI can and cannot do (AI literacy)</t>
        </is>
      </c>
      <c r="D25" s="4">
        <v>1</v>
      </c>
      <c r="E25" s="4">
        <v>3</v>
      </c>
      <c r="F25">
        <f>E25-D25</f>
      </c>
      <c r="G25" s="6" t="inlineStr">
        <is>
          <t xml:space="preserve">No training. Survey: 61% expect AI to 'replace jobs at the desk', 22% feel confident using it.</t>
        </is>
      </c>
    </row>
    <row r="26">
      <c r="A26" t="inlineStr">
        <is>
          <t xml:space="preserve">P2</t>
        </is>
      </c>
      <c r="B26" t="inlineStr">
        <is>
          <t xml:space="preserve">People &amp; skills</t>
        </is>
      </c>
      <c r="C26" t="inlineStr">
        <is>
          <t xml:space="preserve">There are internal AI champions</t>
        </is>
      </c>
      <c r="D26" s="4">
        <v>1</v>
      </c>
      <c r="E26" s="4">
        <v>3</v>
      </c>
      <c r="F26">
        <f>E26-D26</f>
      </c>
      <c r="G26" s="6" t="inlineStr">
        <is>
          <t xml:space="preserve">Two enthusiasts (customs, sales) experimenting on their own time.</t>
        </is>
      </c>
    </row>
    <row r="27">
      <c r="A27" t="inlineStr">
        <is>
          <t xml:space="preserve">P3</t>
        </is>
      </c>
      <c r="B27" t="inlineStr">
        <is>
          <t xml:space="preserve">People &amp; skills</t>
        </is>
      </c>
      <c r="C27" t="inlineStr">
        <is>
          <t xml:space="preserve">Product ownership exists for digital solutions</t>
        </is>
      </c>
      <c r="D27" s="4">
        <v>2</v>
      </c>
      <c r="E27" s="4">
        <v>3</v>
      </c>
      <c r="F27">
        <f>E27-D27</f>
      </c>
      <c r="G27" s="6" t="inlineStr">
        <is>
          <t xml:space="preserve">IT acts as order-taker; no business product owners.</t>
        </is>
      </c>
    </row>
    <row r="28">
      <c r="A28" t="inlineStr">
        <is>
          <t xml:space="preserve">P4</t>
        </is>
      </c>
      <c r="B28" t="inlineStr">
        <is>
          <t xml:space="preserve">People &amp; skills</t>
        </is>
      </c>
      <c r="C28" t="inlineStr">
        <is>
          <t xml:space="preserve">Technical skills to run AI solutions are available</t>
        </is>
      </c>
      <c r="D28" s="4">
        <v>2</v>
      </c>
      <c r="E28" s="4">
        <v>3</v>
      </c>
      <c r="F28">
        <f>E28-D28</f>
      </c>
      <c r="G28" s="6" t="inlineStr">
        <is>
          <t xml:space="preserve">IT team of six: infrastructure and ERP support; one developer with Python and API experience.</t>
        </is>
      </c>
    </row>
    <row r="29">
      <c r="A29" t="inlineStr">
        <is>
          <t xml:space="preserve">P5</t>
        </is>
      </c>
      <c r="B29" t="inlineStr">
        <is>
          <t xml:space="preserve">People &amp; skills</t>
        </is>
      </c>
      <c r="C29" t="inlineStr">
        <is>
          <t xml:space="preserve">The works council is involved early</t>
        </is>
      </c>
      <c r="D29" s="4">
        <v>2</v>
      </c>
      <c r="E29" s="4">
        <v>4</v>
      </c>
      <c r="F29">
        <f>E29-D29</f>
      </c>
      <c r="G29" s="6" t="inlineStr">
        <is>
          <t xml:space="preserve">Good relationship; informed about telematics after the fact in 2023, which still causes friction.</t>
        </is>
      </c>
    </row>
    <row r="30">
      <c r="A30" t="inlineStr">
        <is>
          <t xml:space="preserve">O1</t>
        </is>
      </c>
      <c r="B30" t="inlineStr">
        <is>
          <t xml:space="preserve">Process &amp; operations</t>
        </is>
      </c>
      <c r="C30" t="inlineStr">
        <is>
          <t xml:space="preserve">Core processes are documented</t>
        </is>
      </c>
      <c r="D30" s="4">
        <v>2</v>
      </c>
      <c r="E30" s="4">
        <v>3</v>
      </c>
      <c r="F30">
        <f>E30-D30</f>
      </c>
      <c r="G30" s="6" t="inlineStr">
        <is>
          <t xml:space="preserve">Work instructions per customer in Word files on a shared drive, 340 files, a third older than 3 years.</t>
        </is>
      </c>
    </row>
    <row r="31">
      <c r="A31" t="inlineStr">
        <is>
          <t xml:space="preserve">O2</t>
        </is>
      </c>
      <c r="B31" t="inlineStr">
        <is>
          <t xml:space="preserve">Process &amp; operations</t>
        </is>
      </c>
      <c r="C31" t="inlineStr">
        <is>
          <t xml:space="preserve">Process KPIs are measured</t>
        </is>
      </c>
      <c r="D31" s="4">
        <v>2</v>
      </c>
      <c r="E31" s="4">
        <v>4</v>
      </c>
      <c r="F31">
        <f>E31-D31</f>
      </c>
      <c r="G31" s="6" t="inlineStr">
        <is>
          <t xml:space="preserve">Volumes and on-time delivery measured; handling time, rework and error cost not.</t>
        </is>
      </c>
    </row>
    <row r="32">
      <c r="A32" t="inlineStr">
        <is>
          <t xml:space="preserve">O3</t>
        </is>
      </c>
      <c r="B32" t="inlineStr">
        <is>
          <t xml:space="preserve">Process &amp; operations</t>
        </is>
      </c>
      <c r="C32" t="inlineStr">
        <is>
          <t xml:space="preserve">Exceptions are handled in a defined way</t>
        </is>
      </c>
      <c r="D32" s="4">
        <v>2</v>
      </c>
      <c r="E32" s="4">
        <v>3</v>
      </c>
      <c r="F32">
        <f>E32-D32</f>
      </c>
      <c r="G32" s="6" t="inlineStr">
        <is>
          <t xml:space="preserve">Exceptions go to whoever is free; no categories, no log.</t>
        </is>
      </c>
    </row>
    <row r="33">
      <c r="A33" t="inlineStr">
        <is>
          <t xml:space="preserve">O4</t>
        </is>
      </c>
      <c r="B33" t="inlineStr">
        <is>
          <t xml:space="preserve">Process &amp; operations</t>
        </is>
      </c>
      <c r="C33" t="inlineStr">
        <is>
          <t xml:space="preserve">There is a change management practice</t>
        </is>
      </c>
      <c r="D33" s="4">
        <v>2</v>
      </c>
      <c r="E33" s="4">
        <v>3</v>
      </c>
      <c r="F33">
        <f>E33-D33</f>
      </c>
      <c r="G33" s="6" t="inlineStr">
        <is>
          <t xml:space="preserve">TMS go-live in 2014 remembered as painful; no change approach since.</t>
        </is>
      </c>
    </row>
    <row r="34">
      <c r="A34" t="inlineStr">
        <is>
          <t xml:space="preserve">O5</t>
        </is>
      </c>
      <c r="B34" t="inlineStr">
        <is>
          <t xml:space="preserve">Process &amp; operations</t>
        </is>
      </c>
      <c r="C34" t="inlineStr">
        <is>
          <t xml:space="preserve">Teams improve their own work</t>
        </is>
      </c>
      <c r="D34" s="4">
        <v>3</v>
      </c>
      <c r="E34" s="4">
        <v>4</v>
      </c>
      <c r="F34">
        <f>E34-D34</f>
      </c>
      <c r="G34" s="6" t="inlineStr">
        <is>
          <t xml:space="preserve">Monthly operations meeting with improvement actions; strong pragmatism on the floor.</t>
        </is>
      </c>
    </row>
  </sheetData>
</worksheet>
</file>

<file path=xl/worksheets/sheet2.xml><?xml version="1.0" encoding="utf-8"?>
<worksheet xmlns="http://schemas.openxmlformats.org/spreadsheetml/2006/main">
  <cols>
    <col min="1" max="1" width="30" customWidth="1"/>
    <col min="2" max="2" width="10" customWidth="1"/>
    <col min="3" max="3" width="10" customWidth="1"/>
    <col min="4" max="4" width="10" customWidth="1"/>
  </cols>
  <sheetData>
    <row r="1">
      <c r="A1" s="1" t="inlineStr">
        <is>
          <t xml:space="preserve">Dimension</t>
        </is>
      </c>
      <c r="B1" s="1" t="inlineStr">
        <is>
          <t xml:space="preserve">Today</t>
        </is>
      </c>
      <c r="C1" s="1" t="inlineStr">
        <is>
          <t xml:space="preserve">Target</t>
        </is>
      </c>
      <c r="D1" s="1" t="inlineStr">
        <is>
          <t xml:space="preserve">Gap</t>
        </is>
      </c>
    </row>
    <row r="2">
      <c r="A2" t="inlineStr">
        <is>
          <t xml:space="preserve">Strategy &amp; leadership</t>
        </is>
      </c>
      <c r="B2" s="10">
        <f>ROUND(AVERAGEIF(Scorecard!$B$5:$B$34,A2,Scorecard!$D$5:$D$34),2)</f>
      </c>
      <c r="C2" s="10">
        <f>ROUND(AVERAGEIF(Scorecard!$B$5:$B$34,A2,Scorecard!$E$5:$E$34),2)</f>
      </c>
      <c r="D2" s="10">
        <f>C2-B2</f>
      </c>
    </row>
    <row r="3">
      <c r="A3" t="inlineStr">
        <is>
          <t xml:space="preserve">Data foundations</t>
        </is>
      </c>
      <c r="B3" s="10">
        <f>ROUND(AVERAGEIF(Scorecard!$B$5:$B$34,A3,Scorecard!$D$5:$D$34),2)</f>
      </c>
      <c r="C3" s="10">
        <f>ROUND(AVERAGEIF(Scorecard!$B$5:$B$34,A3,Scorecard!$E$5:$E$34),2)</f>
      </c>
      <c r="D3" s="10">
        <f>C3-B3</f>
      </c>
    </row>
    <row r="4">
      <c r="A4" t="inlineStr">
        <is>
          <t xml:space="preserve">Technology &amp; tooling</t>
        </is>
      </c>
      <c r="B4" s="10">
        <f>ROUND(AVERAGEIF(Scorecard!$B$5:$B$34,A4,Scorecard!$D$5:$D$34),2)</f>
      </c>
      <c r="C4" s="10">
        <f>ROUND(AVERAGEIF(Scorecard!$B$5:$B$34,A4,Scorecard!$E$5:$E$34),2)</f>
      </c>
      <c r="D4" s="10">
        <f>C4-B4</f>
      </c>
    </row>
    <row r="5">
      <c r="A5" t="inlineStr">
        <is>
          <t xml:space="preserve">Governance, risk &amp; compliance</t>
        </is>
      </c>
      <c r="B5" s="10">
        <f>ROUND(AVERAGEIF(Scorecard!$B$5:$B$34,A5,Scorecard!$D$5:$D$34),2)</f>
      </c>
      <c r="C5" s="10">
        <f>ROUND(AVERAGEIF(Scorecard!$B$5:$B$34,A5,Scorecard!$E$5:$E$34),2)</f>
      </c>
      <c r="D5" s="10">
        <f>C5-B5</f>
      </c>
    </row>
    <row r="6">
      <c r="A6" t="inlineStr">
        <is>
          <t xml:space="preserve">People &amp; skills</t>
        </is>
      </c>
      <c r="B6" s="10">
        <f>ROUND(AVERAGEIF(Scorecard!$B$5:$B$34,A6,Scorecard!$D$5:$D$34),2)</f>
      </c>
      <c r="C6" s="10">
        <f>ROUND(AVERAGEIF(Scorecard!$B$5:$B$34,A6,Scorecard!$E$5:$E$34),2)</f>
      </c>
      <c r="D6" s="10">
        <f>C6-B6</f>
      </c>
    </row>
    <row r="7">
      <c r="A7" t="inlineStr">
        <is>
          <t xml:space="preserve">Process &amp; operations</t>
        </is>
      </c>
      <c r="B7" s="10">
        <f>ROUND(AVERAGEIF(Scorecard!$B$5:$B$34,A7,Scorecard!$D$5:$D$34),2)</f>
      </c>
      <c r="C7" s="10">
        <f>ROUND(AVERAGEIF(Scorecard!$B$5:$B$34,A7,Scorecard!$E$5:$E$34),2)</f>
      </c>
      <c r="D7" s="10">
        <f>C7-B7</f>
      </c>
    </row>
    <row r="8">
      <c r="A8" s="1" t="inlineStr">
        <is>
          <t xml:space="preserve">Overall</t>
        </is>
      </c>
      <c r="B8" s="10">
        <f>ROUND(AVERAGE(B2:B7),2)</f>
      </c>
      <c r="C8" s="10">
        <f>ROUND(AVERAGE(C2:C7),2)</f>
      </c>
      <c r="D8" s="10">
        <f>C8-B8</f>
      </c>
    </row>
  </sheetData>
</worksheet>
</file>